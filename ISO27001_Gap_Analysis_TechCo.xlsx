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 Analysi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<sst xmlns="http://schemas.openxmlformats.org/spreadsheetml/2006/main" count="165" uniqueCount="112">
  <si>
    <t xml:space="preserve">Control ID</t>
  </si>
  <si>
    <t xml:space="preserve">Control Name</t>
  </si>
  <si>
    <t xml:space="preserve">Category</t>
  </si>
  <si>
    <t xml:space="preserve">Status</t>
  </si>
  <si>
    <t xml:space="preserve">Gap Description</t>
  </si>
  <si>
    <t xml:space="preserve">Recommendation</t>
  </si>
  <si>
    <t xml:space="preserve">Priority</t>
  </si>
  <si>
    <t xml:space="preserve">A.5.1</t>
  </si>
  <si>
    <t xml:space="preserve">Policies for information security</t>
  </si>
  <si>
    <t xml:space="preserve">Organisational</t>
  </si>
  <si>
    <t xml:space="preserve">Implemented</t>
  </si>
  <si>
    <t xml:space="preserve">Detailed policy document in place and accessible to all staff</t>
  </si>
  <si>
    <t xml:space="preserve">Ensure annual review cycle with stakeholder approval</t>
  </si>
  <si>
    <t xml:space="preserve">High</t>
  </si>
  <si>
    <t xml:space="preserve">A.5.2</t>
  </si>
  <si>
    <t xml:space="preserve">Information security roles and responsibilities</t>
  </si>
  <si>
    <t xml:space="preserve">Partial</t>
  </si>
  <si>
    <t xml:space="preserve">CISO role exists, unclear delegation to team members</t>
  </si>
  <si>
    <t xml:space="preserve">Define responsibility matrix for all security roles and staff</t>
  </si>
  <si>
    <t xml:space="preserve">A.6.1</t>
  </si>
  <si>
    <t xml:space="preserve">Screening of personnel</t>
  </si>
  <si>
    <t xml:space="preserve">People</t>
  </si>
  <si>
    <t xml:space="preserve">Background checks done at hire, no ongoing reassessment process</t>
  </si>
  <si>
    <t xml:space="preserve">Implement periodic reassessment process for employees</t>
  </si>
  <si>
    <t xml:space="preserve">Medium</t>
  </si>
  <si>
    <t xml:space="preserve">A.6.2</t>
  </si>
  <si>
    <t xml:space="preserve">Terms and conditions of employment</t>
  </si>
  <si>
    <t xml:space="preserve">Security clauses in employment contracts covering confidentiality</t>
  </si>
  <si>
    <t xml:space="preserve">Update employment terms for remote work and BYOD scenarios</t>
  </si>
  <si>
    <t xml:space="preserve">Low</t>
  </si>
  <si>
    <t xml:space="preserve">A.7.1</t>
  </si>
  <si>
    <t xml:space="preserve">Physical entry</t>
  </si>
  <si>
    <t xml:space="preserve">Physical</t>
  </si>
  <si>
    <t xml:space="preserve">Badge access at main entrance, side door and windows unsecured</t>
  </si>
  <si>
    <t xml:space="preserve">Install access control on all entry points, implement CCTV</t>
  </si>
  <si>
    <t xml:space="preserve">A.7.2</t>
  </si>
  <si>
    <t xml:space="preserve">Secure areas</t>
  </si>
  <si>
    <t xml:space="preserve">Missing</t>
  </si>
  <si>
    <t xml:space="preserve">No designated secure area for servers, servers in shared office space</t>
  </si>
  <si>
    <t xml:space="preserve">Establish locked server room with badge access and logging</t>
  </si>
  <si>
    <t xml:space="preserve">Critical</t>
  </si>
  <si>
    <t xml:space="preserve">A.7.3</t>
  </si>
  <si>
    <t xml:space="preserve">Physical and environmental security</t>
  </si>
  <si>
    <t xml:space="preserve">Fire suppression system in place, CCTV monitoring active</t>
  </si>
  <si>
    <t xml:space="preserve">Add environmental monitoring sensors for temperature and humidity</t>
  </si>
  <si>
    <t xml:space="preserve">A.8.1</t>
  </si>
  <si>
    <t xml:space="preserve">User endpoint devices</t>
  </si>
  <si>
    <t xml:space="preserve">Technological</t>
  </si>
  <si>
    <t xml:space="preserve">Some devices encrypted, not all laptops have full-disk encryption</t>
  </si>
  <si>
    <t xml:space="preserve">Mandate full-disk encryption (BitLocker/FileVault) company-wide</t>
  </si>
  <si>
    <t xml:space="preserve">A.8.2</t>
  </si>
  <si>
    <t xml:space="preserve">Privileged access rights</t>
  </si>
  <si>
    <t xml:space="preserve">No formal PAM system, admin access not monitored, shared passwords</t>
  </si>
  <si>
    <t xml:space="preserve">Implement PAM solution (Vault/AWS IAM) with access logging</t>
  </si>
  <si>
    <t xml:space="preserve">A.8.3</t>
  </si>
  <si>
    <t xml:space="preserve">Information access restriction</t>
  </si>
  <si>
    <t xml:space="preserve">File-level access exists, no formal RBAC or documented matrix</t>
  </si>
  <si>
    <t xml:space="preserve">Document and enforce role-based access control matrix</t>
  </si>
  <si>
    <t xml:space="preserve">A.8.4</t>
  </si>
  <si>
    <t xml:space="preserve">Access to cryptographic keys</t>
  </si>
  <si>
    <t xml:space="preserve">Keys stored in code repos and config files, no centralized key management, no rotation policy</t>
  </si>
  <si>
    <t xml:space="preserve">Implement key management tool (AWS KMS or HashiCorp Vault) with access logging</t>
  </si>
  <si>
    <t xml:space="preserve">A.9.1</t>
  </si>
  <si>
    <t xml:space="preserve">User registration and access provisioning</t>
  </si>
  <si>
    <t xml:space="preserve">No documented onboarding process, no IT checklist, no formal approval workflow</t>
  </si>
  <si>
    <t xml:space="preserve">Create IT onboarding checklist and document approval process</t>
  </si>
  <si>
    <t xml:space="preserve">A.9.2</t>
  </si>
  <si>
    <t xml:space="preserve">Privileged access provisioning</t>
  </si>
  <si>
    <t xml:space="preserve">No formal approvals for admin access, no tracking of who has what, shared admin passwords for years</t>
  </si>
  <si>
    <t xml:space="preserve">Implement formal approval workflow, privileged account registry, enforce monthly password rotation</t>
  </si>
  <si>
    <t xml:space="preserve">A.9.3</t>
  </si>
  <si>
    <t xml:space="preserve">Access provisioning for third parties</t>
  </si>
  <si>
    <t xml:space="preserve">No vendor access agreements, no logging of vendor activities, old vendors still have access</t>
  </si>
  <si>
    <t xml:space="preserve">Implement vendor access agreement template, create vendor registry, conduct quarterly access reviews</t>
  </si>
  <si>
    <t xml:space="preserve">A.9.4</t>
  </si>
  <si>
    <t xml:space="preserve">User access review</t>
  </si>
  <si>
    <t xml:space="preserve">No formal review process, old employees retain access (Ahmed left 3 months ago, still has database access)</t>
  </si>
  <si>
    <t xml:space="preserve">Implement quarterly user access reviews, conduct offboarding process with immediate access removal</t>
  </si>
  <si>
    <t xml:space="preserve">A.10.1</t>
  </si>
  <si>
    <t xml:space="preserve">Cryptography use policy</t>
  </si>
  <si>
    <t xml:space="preserve">Database passwords encrypted, customer emails and file backups unencrypted, no written encryption policy</t>
  </si>
  <si>
    <t xml:space="preserve">Establish encryption policy requiring AES-256 for all customer data and backups, implement email encryption</t>
  </si>
  <si>
    <t xml:space="preserve">A.11.1</t>
  </si>
  <si>
    <t xml:space="preserve">Event logging</t>
  </si>
  <si>
    <t xml:space="preserve">GitHub logs available, database logins and server access not logged, admin actions not tracked</t>
  </si>
  <si>
    <t xml:space="preserve">Implement centralized logging (CloudWatch or Splunk) for all database, server, and admin actions. Monthly log reviews</t>
  </si>
  <si>
    <t xml:space="preserve">A.11.2</t>
  </si>
  <si>
    <t xml:space="preserve">Protection of log information</t>
  </si>
  <si>
    <t xml:space="preserve">Logs stored locally with no immutability protection, any admin can delete, no off-site backups</t>
  </si>
  <si>
    <t xml:space="preserve">Implement immutable log storage (AWS S3 Object Lock), enable cloud backups, restrict admin log modification rights</t>
  </si>
  <si>
    <t xml:space="preserve">A.12.1</t>
  </si>
  <si>
    <t xml:space="preserve">Events requiring an incident response</t>
  </si>
  <si>
    <t xml:space="preserve">Some security incidents tracked informally, no defined event types, no escalation procedure documented</t>
  </si>
  <si>
    <t xml:space="preserve">Define incident classification (Critical/High/Medium/Low), create escalation matrix, document response timeline</t>
  </si>
  <si>
    <t xml:space="preserve">A.12.2</t>
  </si>
  <si>
    <t xml:space="preserve">Management of information security incidents</t>
  </si>
  <si>
    <t xml:space="preserve">No incident response plan, no escalation procedures, no communication plan with customers, unprepared team</t>
  </si>
  <si>
    <t xml:space="preserve">Develop incident response plan with roles/responsibilities, create incident log template, conduct quarterly tabletop exercises</t>
  </si>
  <si>
    <t xml:space="preserve">ISO 27001 Gap Analysis Summary</t>
  </si>
  <si>
    <t xml:space="preserve">Company:</t>
  </si>
  <si>
    <t xml:space="preserve">TechCo Pvt Ltd — 50-person software company, Karachi</t>
  </si>
  <si>
    <t xml:space="preserve">Assessment Date:</t>
  </si>
  <si>
    <t xml:space="preserve">2026-06-02</t>
  </si>
  <si>
    <t xml:space="preserve">Control Status Summary</t>
  </si>
  <si>
    <t xml:space="preserve">Count</t>
  </si>
  <si>
    <t xml:space="preserve">Percentage</t>
  </si>
  <si>
    <t xml:space="preserve">Critical Priority Controls</t>
  </si>
  <si>
    <t xml:space="preserve">Overall Risk Level</t>
  </si>
  <si>
    <t xml:space="preserve">Assessment:</t>
  </si>
  <si>
    <t xml:space="preserve">MEDIUM</t>
  </si>
  <si>
    <t xml:space="preserve">Rationale:</t>
  </si>
  <si>
    <t xml:space="preserve">Foundation exists (basic policies, some encryption) but 6 critical controls missing (secure areas, PAM, logging, incident response). Immediate action required on privileged access and incident management.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</si>
</sst>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2"/>
      <color rgb="FFFF0000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A500"/>
        <bgColor rgb="FFFFCC00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3D3D3"/>
      </patternFill>
    </fill>
    <fill>
      <patternFill patternType="solid">
        <fgColor rgb="FFFF0000"/>
        <bgColor rgb="FF993300"/>
      </patternFill>
    </fill>
    <fill>
      <patternFill patternType="solid">
        <fgColor rgb="FFD3D3D3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40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8.35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4" t="s">
        <v>13</v>
      </c>
    </row>
    <row r="3" customFormat="false" ht="28.35" hidden="false" customHeight="false" outlineLevel="0" collapsed="false">
      <c r="A3" s="2" t="s">
        <v>14</v>
      </c>
      <c r="B3" s="2" t="s">
        <v>15</v>
      </c>
      <c r="C3" s="2" t="s">
        <v>9</v>
      </c>
      <c r="D3" s="5" t="s">
        <v>16</v>
      </c>
      <c r="E3" s="2" t="s">
        <v>17</v>
      </c>
      <c r="F3" s="2" t="s">
        <v>18</v>
      </c>
      <c r="G3" s="4" t="s">
        <v>13</v>
      </c>
    </row>
    <row r="4" customFormat="false" ht="28.35" hidden="false" customHeight="false" outlineLevel="0" collapsed="false">
      <c r="A4" s="2" t="s">
        <v>19</v>
      </c>
      <c r="B4" s="2" t="s">
        <v>20</v>
      </c>
      <c r="C4" s="2" t="s">
        <v>21</v>
      </c>
      <c r="D4" s="5" t="s">
        <v>16</v>
      </c>
      <c r="E4" s="2" t="s">
        <v>22</v>
      </c>
      <c r="F4" s="2" t="s">
        <v>23</v>
      </c>
      <c r="G4" s="2" t="s">
        <v>24</v>
      </c>
    </row>
    <row r="5" customFormat="false" ht="28.35" hidden="false" customHeight="false" outlineLevel="0" collapsed="false">
      <c r="A5" s="2" t="s">
        <v>25</v>
      </c>
      <c r="B5" s="2" t="s">
        <v>26</v>
      </c>
      <c r="C5" s="2" t="s">
        <v>21</v>
      </c>
      <c r="D5" s="3" t="s">
        <v>10</v>
      </c>
      <c r="E5" s="2" t="s">
        <v>27</v>
      </c>
      <c r="F5" s="2" t="s">
        <v>28</v>
      </c>
      <c r="G5" s="2" t="s">
        <v>29</v>
      </c>
    </row>
    <row r="6" customFormat="false" ht="28.35" hidden="false" customHeight="false" outlineLevel="0" collapsed="false">
      <c r="A6" s="2" t="s">
        <v>30</v>
      </c>
      <c r="B6" s="2" t="s">
        <v>31</v>
      </c>
      <c r="C6" s="2" t="s">
        <v>32</v>
      </c>
      <c r="D6" s="5" t="s">
        <v>16</v>
      </c>
      <c r="E6" s="2" t="s">
        <v>33</v>
      </c>
      <c r="F6" s="2" t="s">
        <v>34</v>
      </c>
      <c r="G6" s="4" t="s">
        <v>13</v>
      </c>
    </row>
    <row r="7" customFormat="false" ht="28.35" hidden="false" customHeight="false" outlineLevel="0" collapsed="false">
      <c r="A7" s="2" t="s">
        <v>35</v>
      </c>
      <c r="B7" s="2" t="s">
        <v>36</v>
      </c>
      <c r="C7" s="2" t="s">
        <v>32</v>
      </c>
      <c r="D7" s="6" t="s">
        <v>37</v>
      </c>
      <c r="E7" s="2" t="s">
        <v>38</v>
      </c>
      <c r="F7" s="2" t="s">
        <v>39</v>
      </c>
      <c r="G7" s="7" t="s">
        <v>40</v>
      </c>
    </row>
    <row r="8" customFormat="false" ht="28.35" hidden="false" customHeight="false" outlineLevel="0" collapsed="false">
      <c r="A8" s="2" t="s">
        <v>41</v>
      </c>
      <c r="B8" s="2" t="s">
        <v>42</v>
      </c>
      <c r="C8" s="2" t="s">
        <v>32</v>
      </c>
      <c r="D8" s="3" t="s">
        <v>10</v>
      </c>
      <c r="E8" s="2" t="s">
        <v>43</v>
      </c>
      <c r="F8" s="2" t="s">
        <v>44</v>
      </c>
      <c r="G8" s="2" t="s">
        <v>24</v>
      </c>
    </row>
    <row r="9" customFormat="false" ht="28.35" hidden="false" customHeight="false" outlineLevel="0" collapsed="false">
      <c r="A9" s="2" t="s">
        <v>45</v>
      </c>
      <c r="B9" s="2" t="s">
        <v>46</v>
      </c>
      <c r="C9" s="2" t="s">
        <v>47</v>
      </c>
      <c r="D9" s="5" t="s">
        <v>16</v>
      </c>
      <c r="E9" s="2" t="s">
        <v>48</v>
      </c>
      <c r="F9" s="2" t="s">
        <v>49</v>
      </c>
      <c r="G9" s="4" t="s">
        <v>13</v>
      </c>
    </row>
    <row r="10" customFormat="false" ht="28.35" hidden="false" customHeight="false" outlineLevel="0" collapsed="false">
      <c r="A10" s="2" t="s">
        <v>50</v>
      </c>
      <c r="B10" s="2" t="s">
        <v>51</v>
      </c>
      <c r="C10" s="2" t="s">
        <v>47</v>
      </c>
      <c r="D10" s="6" t="s">
        <v>37</v>
      </c>
      <c r="E10" s="2" t="s">
        <v>52</v>
      </c>
      <c r="F10" s="2" t="s">
        <v>53</v>
      </c>
      <c r="G10" s="7" t="s">
        <v>40</v>
      </c>
    </row>
    <row r="11" customFormat="false" ht="28.35" hidden="false" customHeight="false" outlineLevel="0" collapsed="false">
      <c r="A11" s="2" t="s">
        <v>54</v>
      </c>
      <c r="B11" s="2" t="s">
        <v>55</v>
      </c>
      <c r="C11" s="2" t="s">
        <v>47</v>
      </c>
      <c r="D11" s="5" t="s">
        <v>16</v>
      </c>
      <c r="E11" s="2" t="s">
        <v>56</v>
      </c>
      <c r="F11" s="2" t="s">
        <v>57</v>
      </c>
      <c r="G11" s="4" t="s">
        <v>13</v>
      </c>
    </row>
    <row r="12" customFormat="false" ht="41.75" hidden="false" customHeight="false" outlineLevel="0" collapsed="false">
      <c r="A12" s="2" t="s">
        <v>58</v>
      </c>
      <c r="B12" s="2" t="s">
        <v>59</v>
      </c>
      <c r="C12" s="2" t="s">
        <v>47</v>
      </c>
      <c r="D12" s="5" t="s">
        <v>16</v>
      </c>
      <c r="E12" s="2" t="s">
        <v>60</v>
      </c>
      <c r="F12" s="2" t="s">
        <v>61</v>
      </c>
      <c r="G12" s="4" t="s">
        <v>13</v>
      </c>
    </row>
    <row r="13" customFormat="false" ht="28.35" hidden="false" customHeight="false" outlineLevel="0" collapsed="false">
      <c r="A13" s="2" t="s">
        <v>62</v>
      </c>
      <c r="B13" s="2" t="s">
        <v>63</v>
      </c>
      <c r="C13" s="2" t="s">
        <v>47</v>
      </c>
      <c r="D13" s="5" t="s">
        <v>16</v>
      </c>
      <c r="E13" s="2" t="s">
        <v>64</v>
      </c>
      <c r="F13" s="2" t="s">
        <v>65</v>
      </c>
      <c r="G13" s="2" t="s">
        <v>24</v>
      </c>
    </row>
    <row r="14" customFormat="false" ht="41.75" hidden="false" customHeight="false" outlineLevel="0" collapsed="false">
      <c r="A14" s="2" t="s">
        <v>66</v>
      </c>
      <c r="B14" s="2" t="s">
        <v>67</v>
      </c>
      <c r="C14" s="2" t="s">
        <v>47</v>
      </c>
      <c r="D14" s="6" t="s">
        <v>37</v>
      </c>
      <c r="E14" s="2" t="s">
        <v>68</v>
      </c>
      <c r="F14" s="2" t="s">
        <v>69</v>
      </c>
      <c r="G14" s="7" t="s">
        <v>40</v>
      </c>
    </row>
    <row r="15" customFormat="false" ht="41.75" hidden="false" customHeight="false" outlineLevel="0" collapsed="false">
      <c r="A15" s="2" t="s">
        <v>70</v>
      </c>
      <c r="B15" s="2" t="s">
        <v>71</v>
      </c>
      <c r="C15" s="2" t="s">
        <v>47</v>
      </c>
      <c r="D15" s="6" t="s">
        <v>37</v>
      </c>
      <c r="E15" s="2" t="s">
        <v>72</v>
      </c>
      <c r="F15" s="2" t="s">
        <v>73</v>
      </c>
      <c r="G15" s="4" t="s">
        <v>13</v>
      </c>
    </row>
    <row r="16" customFormat="false" ht="41.75" hidden="false" customHeight="false" outlineLevel="0" collapsed="false">
      <c r="A16" s="2" t="s">
        <v>74</v>
      </c>
      <c r="B16" s="2" t="s">
        <v>75</v>
      </c>
      <c r="C16" s="2" t="s">
        <v>47</v>
      </c>
      <c r="D16" s="6" t="s">
        <v>37</v>
      </c>
      <c r="E16" s="2" t="s">
        <v>76</v>
      </c>
      <c r="F16" s="2" t="s">
        <v>77</v>
      </c>
      <c r="G16" s="4" t="s">
        <v>13</v>
      </c>
    </row>
    <row r="17" customFormat="false" ht="41.75" hidden="false" customHeight="false" outlineLevel="0" collapsed="false">
      <c r="A17" s="2" t="s">
        <v>78</v>
      </c>
      <c r="B17" s="2" t="s">
        <v>79</v>
      </c>
      <c r="C17" s="2" t="s">
        <v>47</v>
      </c>
      <c r="D17" s="5" t="s">
        <v>16</v>
      </c>
      <c r="E17" s="2" t="s">
        <v>80</v>
      </c>
      <c r="F17" s="2" t="s">
        <v>81</v>
      </c>
      <c r="G17" s="4" t="s">
        <v>13</v>
      </c>
    </row>
    <row r="18" customFormat="false" ht="41.75" hidden="false" customHeight="false" outlineLevel="0" collapsed="false">
      <c r="A18" s="2" t="s">
        <v>82</v>
      </c>
      <c r="B18" s="2" t="s">
        <v>83</v>
      </c>
      <c r="C18" s="2" t="s">
        <v>47</v>
      </c>
      <c r="D18" s="5" t="s">
        <v>16</v>
      </c>
      <c r="E18" s="2" t="s">
        <v>84</v>
      </c>
      <c r="F18" s="2" t="s">
        <v>85</v>
      </c>
      <c r="G18" s="7" t="s">
        <v>40</v>
      </c>
    </row>
    <row r="19" customFormat="false" ht="41.75" hidden="false" customHeight="false" outlineLevel="0" collapsed="false">
      <c r="A19" s="2" t="s">
        <v>86</v>
      </c>
      <c r="B19" s="2" t="s">
        <v>87</v>
      </c>
      <c r="C19" s="2" t="s">
        <v>47</v>
      </c>
      <c r="D19" s="5" t="s">
        <v>16</v>
      </c>
      <c r="E19" s="2" t="s">
        <v>88</v>
      </c>
      <c r="F19" s="2" t="s">
        <v>89</v>
      </c>
      <c r="G19" s="7" t="s">
        <v>40</v>
      </c>
    </row>
    <row r="20" customFormat="false" ht="41.75" hidden="false" customHeight="false" outlineLevel="0" collapsed="false">
      <c r="A20" s="2" t="s">
        <v>90</v>
      </c>
      <c r="B20" s="2" t="s">
        <v>91</v>
      </c>
      <c r="C20" s="2" t="s">
        <v>47</v>
      </c>
      <c r="D20" s="5" t="s">
        <v>16</v>
      </c>
      <c r="E20" s="2" t="s">
        <v>92</v>
      </c>
      <c r="F20" s="2" t="s">
        <v>93</v>
      </c>
      <c r="G20" s="4" t="s">
        <v>13</v>
      </c>
    </row>
    <row r="21" customFormat="false" ht="55.2" hidden="false" customHeight="false" outlineLevel="0" collapsed="false">
      <c r="A21" s="2" t="s">
        <v>94</v>
      </c>
      <c r="B21" s="2" t="s">
        <v>95</v>
      </c>
      <c r="C21" s="2" t="s">
        <v>47</v>
      </c>
      <c r="D21" s="6" t="s">
        <v>37</v>
      </c>
      <c r="E21" s="2" t="s">
        <v>96</v>
      </c>
      <c r="F21" s="2" t="s">
        <v>97</v>
      </c>
      <c r="G21" s="7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0"/>
    <col collapsed="false" customWidth="true" hidden="false" outlineLevel="0" max="3" min="3" style="0" width="15"/>
  </cols>
  <sheetData>
    <row r="1" customFormat="false" ht="17.35" hidden="false" customHeight="false" outlineLevel="0" collapsed="false">
      <c r="A1" s="8" t="s">
        <v>98</v>
      </c>
    </row>
    <row r="3" customFormat="false" ht="15" hidden="false" customHeight="false" outlineLevel="0" collapsed="false">
      <c r="A3" s="9" t="s">
        <v>99</v>
      </c>
      <c r="B3" s="10" t="s">
        <v>100</v>
      </c>
    </row>
    <row r="4" customFormat="false" ht="15" hidden="false" customHeight="false" outlineLevel="0" collapsed="false">
      <c r="A4" s="9" t="s">
        <v>101</v>
      </c>
      <c r="B4" s="10" t="s">
        <v>102</v>
      </c>
    </row>
    <row r="6" customFormat="false" ht="15" hidden="false" customHeight="false" outlineLevel="0" collapsed="false">
      <c r="A6" s="11" t="s">
        <v>103</v>
      </c>
    </row>
    <row r="7" customFormat="false" ht="15" hidden="false" customHeight="false" outlineLevel="0" collapsed="false">
      <c r="A7" s="12" t="s">
        <v>3</v>
      </c>
      <c r="B7" s="12" t="s">
        <v>104</v>
      </c>
      <c r="C7" s="12" t="s">
        <v>105</v>
      </c>
    </row>
    <row r="8" customFormat="false" ht="15" hidden="false" customHeight="false" outlineLevel="0" collapsed="false">
      <c r="A8" s="0" t="s">
        <v>10</v>
      </c>
      <c r="B8" s="0" t="n">
        <f aca="false">COUNTIF('Gap Analysis'!D:D,"Implemented")</f>
        <v>3</v>
      </c>
      <c r="C8" s="13" t="n">
        <f aca="false">B8/20</f>
        <v>0.15</v>
      </c>
    </row>
    <row r="9" customFormat="false" ht="15" hidden="false" customHeight="false" outlineLevel="0" collapsed="false">
      <c r="A9" s="0" t="s">
        <v>16</v>
      </c>
      <c r="B9" s="0" t="n">
        <f aca="false">COUNTIF('Gap Analysis'!D:D,"Partial")</f>
        <v>11</v>
      </c>
      <c r="C9" s="13" t="n">
        <f aca="false">B9/20</f>
        <v>0.55</v>
      </c>
    </row>
    <row r="10" customFormat="false" ht="15" hidden="false" customHeight="false" outlineLevel="0" collapsed="false">
      <c r="A10" s="0" t="s">
        <v>37</v>
      </c>
      <c r="B10" s="0" t="n">
        <f aca="false">COUNTIF('Gap Analysis'!D:D,"Missing")</f>
        <v>6</v>
      </c>
      <c r="C10" s="13" t="n">
        <f aca="false">B10/20</f>
        <v>0.3</v>
      </c>
    </row>
    <row r="12" customFormat="false" ht="15" hidden="false" customHeight="false" outlineLevel="0" collapsed="false">
      <c r="A12" s="14" t="s">
        <v>106</v>
      </c>
      <c r="B12" s="10" t="n">
        <f aca="false">COUNTIF('Gap Analysis'!G:G,"Critical")</f>
        <v>6</v>
      </c>
    </row>
    <row r="14" customFormat="false" ht="15" hidden="false" customHeight="false" outlineLevel="0" collapsed="false">
      <c r="A14" s="11" t="s">
        <v>107</v>
      </c>
    </row>
    <row r="15" customFormat="false" ht="15" hidden="false" customHeight="false" outlineLevel="0" collapsed="false">
      <c r="A15" s="0" t="s">
        <v>108</v>
      </c>
      <c r="B15" s="15" t="s">
        <v>109</v>
      </c>
    </row>
    <row r="16" customFormat="false" ht="55.2" hidden="false" customHeight="false" outlineLevel="0" collapsed="false">
      <c r="A16" s="9" t="s">
        <v>110</v>
      </c>
      <c r="B16" s="1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2026-06-02T19:22:38Z</dcterms:created>
  <dc:creator>openpyxl</dc:creator>
  <dc:description/>
  <dc:language>en-US</dc:language>
  <cp:lastModifiedBy/>
  <dcterms:modified xsi:type="dcterms:W3CDTF">2026-06-02T19:22:38Z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