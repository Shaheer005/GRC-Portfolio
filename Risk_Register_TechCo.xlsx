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<sst xmlns="http://schemas.openxmlformats.org/spreadsheetml/2006/main" count="108" uniqueCount="81">
  <si>
    <t xml:space="preserve">Risk ID</t>
  </si>
  <si>
    <t xml:space="preserve">Asset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</si>
  <si>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</si>
  <si>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</si>
  <si>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</si>
  <si>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</si>
  <si>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Score (L×I)</t>
  </si>
  <si>
    <t xml:space="preserve">Treatment</t>
  </si>
  <si>
    <t xml:space="preserve">Owner</t>
  </si>
  <si>
    <t xml:space="preserve">Status</t>
  </si>
  <si>
    <t xml:space="preserve">R001</t>
  </si>
  <si>
    <t xml:space="preserve">Email System</t>
  </si>
  <si>
    <t xml:space="preserve">Phishing Attack</t>
  </si>
  <si>
    <t xml:space="preserve">Employees unaware of phishing tactics, no email filtering</t>
  </si>
  <si>
    <t xml:space="preserve">Mitigate</t>
  </si>
  <si>
    <t xml:space="preserve">CISO</t>
  </si>
  <si>
    <t xml:space="preserve">In Progress</t>
  </si>
  <si>
    <t xml:space="preserve">R002</t>
  </si>
  <si>
    <t xml:space="preserve">Database</t>
  </si>
  <si>
    <t xml:space="preserve">Unauthorized Access</t>
  </si>
  <si>
    <t xml:space="preserve">No PAM system, shared admin passwords, no access logging</t>
  </si>
  <si>
    <t xml:space="preserve">CTO</t>
  </si>
  <si>
    <t xml:space="preserve">Not Started</t>
  </si>
  <si>
    <t xml:space="preserve">R003</t>
  </si>
  <si>
    <t xml:space="preserve">Web Servers</t>
  </si>
  <si>
    <t xml:space="preserve">Unpatched Vulnerability</t>
  </si>
  <si>
    <t xml:space="preserve">No patch management process, servers updated manually</t>
  </si>
  <si>
    <t xml:space="preserve">DevOps Lead</t>
  </si>
  <si>
    <t xml:space="preserve">R004</t>
  </si>
  <si>
    <t xml:space="preserve">Customer Data</t>
  </si>
  <si>
    <t xml:space="preserve">Data Breach via Vendor</t>
  </si>
  <si>
    <t xml:space="preserve">Third-party vendors have access, no agreements or monitoring</t>
  </si>
  <si>
    <t xml:space="preserve">R005</t>
  </si>
  <si>
    <t xml:space="preserve">All Systems</t>
  </si>
  <si>
    <t xml:space="preserve">Insider Threat/Data Theft</t>
  </si>
  <si>
    <t xml:space="preserve">Disgruntled employee with system access steals data</t>
  </si>
  <si>
    <t xml:space="preserve">Accept</t>
  </si>
  <si>
    <t xml:space="preserve">HR Manager</t>
  </si>
  <si>
    <t xml:space="preserve">Monitored</t>
  </si>
  <si>
    <t xml:space="preserve">R006</t>
  </si>
  <si>
    <t xml:space="preserve">Web Service</t>
  </si>
  <si>
    <t xml:space="preserve">DDoS Attack</t>
  </si>
  <si>
    <t xml:space="preserve">No DDoS protection, service goes down if attacked</t>
  </si>
  <si>
    <t xml:space="preserve">Infrastructure</t>
  </si>
  <si>
    <t xml:space="preserve">R007</t>
  </si>
  <si>
    <t xml:space="preserve">Web Application</t>
  </si>
  <si>
    <t xml:space="preserve">Missing Security Headers</t>
  </si>
  <si>
    <t xml:space="preserve">XSS/Clickjacking vulnerabilities from missing headers</t>
  </si>
  <si>
    <t xml:space="preserve">Dev Team</t>
  </si>
  <si>
    <t xml:space="preserve">R008</t>
  </si>
  <si>
    <t xml:space="preserve">User Accounts</t>
  </si>
  <si>
    <t xml:space="preserve">Weak Password Policy</t>
  </si>
  <si>
    <t xml:space="preserve">No password complexity requirements, easy to crack</t>
  </si>
  <si>
    <t xml:space="preserve">R009</t>
  </si>
  <si>
    <t xml:space="preserve">Critical Systems</t>
  </si>
  <si>
    <t xml:space="preserve">No MFA on Login</t>
  </si>
  <si>
    <t xml:space="preserve">Admin/critical accounts accessible with password only</t>
  </si>
  <si>
    <t xml:space="preserve">Planned</t>
  </si>
  <si>
    <t xml:space="preserve">R010</t>
  </si>
  <si>
    <t xml:space="preserve">Application</t>
  </si>
  <si>
    <t xml:space="preserve">Outdated Dependencies</t>
  </si>
  <si>
    <t xml:space="preserve">Old libraries with known vulnerabilities in codebase</t>
  </si>
  <si>
    <t xml:space="preserve">Risk Register Summary</t>
  </si>
  <si>
    <t xml:space="preserve">Company:</t>
  </si>
  <si>
    <t xml:space="preserve">TechCo Pvt Ltd</t>
  </si>
  <si>
    <t xml:space="preserve">Assessment Date:</t>
  </si>
  <si>
    <t xml:space="preserve">2026-06-03</t>
  </si>
  <si>
    <t xml:space="preserve">Risk Metrics</t>
  </si>
  <si>
    <t xml:space="preserve">Risk Level</t>
  </si>
  <si>
    <t xml:space="preserve">Count</t>
  </si>
  <si>
    <t xml:space="preserve">Percentage</t>
  </si>
  <si>
    <t xml:space="preserve">Critical (21-25)</t>
  </si>
  <si>
    <t xml:space="preserve">High (13-20)</t>
  </si>
  <si>
    <t xml:space="preserve">Medium (6-12)</t>
  </si>
  <si>
    <t xml:space="preserve">Low (1-5)</t>
  </si>
  <si>
    <t xml:space="preserve">Total Risks</t>
  </si>
  <si>
    <t xml:space="preserve">Treatment Distribution</t>
  </si>
  <si>
    <t xml:space="preserve">Treatment Type</t>
  </si>
  <si>
    <t xml:space="preserve">Transfer</t>
  </si>
  <si>
    <t xml:space="preserve">Avoid</t>
  </si>
  <si>
    <t xml:space="preserve">Status Distribution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</si>
</sst>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A500"/>
        <bgColor rgb="FFFFCC00"/>
      </patternFill>
    </fill>
    <fill>
      <patternFill patternType="solid">
        <fgColor rgb="FFFFEB9C"/>
        <bgColor rgb="FFFFFFCC"/>
      </patternFill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35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8.3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4</v>
      </c>
      <c r="F2" s="2" t="n">
        <v>4</v>
      </c>
      <c r="G2" s="3" t="n">
        <f aca="false">E2*F2</f>
        <v>16</v>
      </c>
      <c r="H2" s="2" t="s">
        <v>14</v>
      </c>
      <c r="I2" s="2" t="s">
        <v>15</v>
      </c>
      <c r="J2" s="2" t="s">
        <v>16</v>
      </c>
    </row>
    <row r="3" customFormat="false" ht="28.3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n">
        <v>4</v>
      </c>
      <c r="F3" s="2" t="n">
        <v>4</v>
      </c>
      <c r="G3" s="3" t="n">
        <f aca="false">E3*F3</f>
        <v>16</v>
      </c>
      <c r="H3" s="2" t="s">
        <v>14</v>
      </c>
      <c r="I3" s="2" t="s">
        <v>21</v>
      </c>
      <c r="J3" s="2" t="s">
        <v>22</v>
      </c>
    </row>
    <row r="4" customFormat="false" ht="28.3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n">
        <v>4</v>
      </c>
      <c r="F4" s="2" t="n">
        <v>3</v>
      </c>
      <c r="G4" s="4" t="n">
        <f aca="false">E4*F4</f>
        <v>12</v>
      </c>
      <c r="H4" s="2" t="s">
        <v>14</v>
      </c>
      <c r="I4" s="2" t="s">
        <v>27</v>
      </c>
      <c r="J4" s="2" t="s">
        <v>16</v>
      </c>
    </row>
    <row r="5" customFormat="false" ht="28.3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n">
        <v>3</v>
      </c>
      <c r="F5" s="2" t="n">
        <v>5</v>
      </c>
      <c r="G5" s="3" t="n">
        <f aca="false">E5*F5</f>
        <v>15</v>
      </c>
      <c r="H5" s="2" t="s">
        <v>14</v>
      </c>
      <c r="I5" s="2" t="s">
        <v>15</v>
      </c>
      <c r="J5" s="2" t="s">
        <v>22</v>
      </c>
    </row>
    <row r="6" customFormat="false" ht="28.3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n">
        <v>2</v>
      </c>
      <c r="F6" s="2" t="n">
        <v>5</v>
      </c>
      <c r="G6" s="4" t="n">
        <f aca="false">E6*F6</f>
        <v>10</v>
      </c>
      <c r="H6" s="2" t="s">
        <v>36</v>
      </c>
      <c r="I6" s="2" t="s">
        <v>37</v>
      </c>
      <c r="J6" s="2" t="s">
        <v>38</v>
      </c>
    </row>
    <row r="7" customFormat="false" ht="28.3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n">
        <v>2</v>
      </c>
      <c r="F7" s="2" t="n">
        <v>4</v>
      </c>
      <c r="G7" s="4" t="n">
        <f aca="false">E7*F7</f>
        <v>8</v>
      </c>
      <c r="H7" s="2" t="s">
        <v>14</v>
      </c>
      <c r="I7" s="2" t="s">
        <v>43</v>
      </c>
      <c r="J7" s="2" t="s">
        <v>22</v>
      </c>
    </row>
    <row r="8" customFormat="false" ht="28.3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n">
        <v>3</v>
      </c>
      <c r="F8" s="2" t="n">
        <v>3</v>
      </c>
      <c r="G8" s="4" t="n">
        <f aca="false">E8*F8</f>
        <v>9</v>
      </c>
      <c r="H8" s="2" t="s">
        <v>14</v>
      </c>
      <c r="I8" s="2" t="s">
        <v>48</v>
      </c>
      <c r="J8" s="2" t="s">
        <v>16</v>
      </c>
    </row>
    <row r="9" customFormat="false" ht="28.3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n">
        <v>4</v>
      </c>
      <c r="F9" s="2" t="n">
        <v>3</v>
      </c>
      <c r="G9" s="4" t="n">
        <f aca="false">E9*F9</f>
        <v>12</v>
      </c>
      <c r="H9" s="2" t="s">
        <v>14</v>
      </c>
      <c r="I9" s="2" t="s">
        <v>15</v>
      </c>
      <c r="J9" s="2" t="s">
        <v>22</v>
      </c>
    </row>
    <row r="10" customFormat="false" ht="28.3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n">
        <v>3</v>
      </c>
      <c r="F10" s="2" t="n">
        <v>4</v>
      </c>
      <c r="G10" s="4" t="n">
        <f aca="false">E10*F10</f>
        <v>12</v>
      </c>
      <c r="H10" s="2" t="s">
        <v>14</v>
      </c>
      <c r="I10" s="2" t="s">
        <v>21</v>
      </c>
      <c r="J10" s="2" t="s">
        <v>57</v>
      </c>
    </row>
    <row r="11" customFormat="false" ht="28.3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n">
        <v>4</v>
      </c>
      <c r="F11" s="2" t="n">
        <v>2</v>
      </c>
      <c r="G11" s="4" t="n">
        <f aca="false">E11*F11</f>
        <v>8</v>
      </c>
      <c r="H11" s="2" t="s">
        <v>14</v>
      </c>
      <c r="I11" s="2" t="s">
        <v>48</v>
      </c>
      <c r="J1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5" t="s">
        <v>62</v>
      </c>
    </row>
    <row r="3" customFormat="false" ht="15" hidden="false" customHeight="false" outlineLevel="0" collapsed="false">
      <c r="A3" s="6" t="s">
        <v>63</v>
      </c>
      <c r="B3" s="7" t="s">
        <v>64</v>
      </c>
    </row>
    <row r="4" customFormat="false" ht="15" hidden="false" customHeight="false" outlineLevel="0" collapsed="false">
      <c r="A4" s="6" t="s">
        <v>65</v>
      </c>
      <c r="B4" s="7" t="s">
        <v>66</v>
      </c>
    </row>
    <row r="6" customFormat="false" ht="15" hidden="false" customHeight="false" outlineLevel="0" collapsed="false">
      <c r="A6" s="8" t="s">
        <v>67</v>
      </c>
    </row>
    <row r="7" customFormat="false" ht="15" hidden="false" customHeight="false" outlineLevel="0" collapsed="false">
      <c r="A7" s="9" t="s">
        <v>68</v>
      </c>
      <c r="B7" s="9" t="s">
        <v>69</v>
      </c>
      <c r="C7" s="9" t="s">
        <v>70</v>
      </c>
    </row>
    <row r="8" customFormat="false" ht="15" hidden="false" customHeight="false" outlineLevel="0" collapsed="false">
      <c r="A8" s="0" t="s">
        <v>71</v>
      </c>
      <c r="B8" s="0" t="n">
        <f aca="false">COUNTIFS('Risk Register'!G:G,"&gt;=21")</f>
        <v>0</v>
      </c>
    </row>
    <row r="9" customFormat="false" ht="15" hidden="false" customHeight="false" outlineLevel="0" collapsed="false">
      <c r="A9" s="0" t="s">
        <v>72</v>
      </c>
      <c r="B9" s="0" t="n">
        <f aca="false">COUNTIFS('Risk Register'!G:G,"&gt;=13",'Risk Register'!G:G,"&lt;=20")</f>
        <v>3</v>
      </c>
    </row>
    <row r="10" customFormat="false" ht="15" hidden="false" customHeight="false" outlineLevel="0" collapsed="false">
      <c r="A10" s="0" t="s">
        <v>73</v>
      </c>
      <c r="B10" s="0" t="n">
        <f aca="false">COUNTIFS('Risk Register'!G:G,"&gt;=6",'Risk Register'!G:G,"&lt;=12")</f>
        <v>7</v>
      </c>
    </row>
    <row r="11" customFormat="false" ht="15" hidden="false" customHeight="false" outlineLevel="0" collapsed="false">
      <c r="A11" s="0" t="s">
        <v>74</v>
      </c>
      <c r="B11" s="0" t="n">
        <f aca="false">COUNTIFS('Risk Register'!G:G,"&lt;=5")</f>
        <v>0</v>
      </c>
    </row>
    <row r="13" customFormat="false" ht="15" hidden="false" customHeight="false" outlineLevel="0" collapsed="false">
      <c r="A13" s="6" t="s">
        <v>75</v>
      </c>
      <c r="B13" s="6" t="n">
        <f aca="false">COUNTA('Risk Register'!A:A)-1</f>
        <v>10</v>
      </c>
    </row>
    <row r="15" customFormat="false" ht="15" hidden="false" customHeight="false" outlineLevel="0" collapsed="false">
      <c r="A15" s="8" t="s">
        <v>76</v>
      </c>
    </row>
    <row r="16" customFormat="false" ht="15" hidden="false" customHeight="false" outlineLevel="0" collapsed="false">
      <c r="A16" s="9" t="s">
        <v>77</v>
      </c>
      <c r="B16" s="9" t="s">
        <v>69</v>
      </c>
    </row>
    <row r="17" customFormat="false" ht="15" hidden="false" customHeight="false" outlineLevel="0" collapsed="false">
      <c r="A17" s="0" t="s">
        <v>14</v>
      </c>
      <c r="B17" s="0" t="n">
        <f aca="false">COUNTIF('Risk Register'!H:H,"Mitigate")</f>
        <v>9</v>
      </c>
    </row>
    <row r="18" customFormat="false" ht="15" hidden="false" customHeight="false" outlineLevel="0" collapsed="false">
      <c r="A18" s="0" t="s">
        <v>36</v>
      </c>
      <c r="B18" s="0" t="n">
        <f aca="false">COUNTIF('Risk Register'!H:H,"Accept")</f>
        <v>1</v>
      </c>
    </row>
    <row r="19" customFormat="false" ht="15" hidden="false" customHeight="false" outlineLevel="0" collapsed="false">
      <c r="A19" s="0" t="s">
        <v>78</v>
      </c>
      <c r="B19" s="0" t="n">
        <f aca="false">COUNTIF('Risk Register'!H:H,"Transfer")</f>
        <v>0</v>
      </c>
    </row>
    <row r="20" customFormat="false" ht="15" hidden="false" customHeight="false" outlineLevel="0" collapsed="false">
      <c r="A20" s="0" t="s">
        <v>79</v>
      </c>
      <c r="B20" s="0" t="n">
        <f aca="false">COUNTIF('Risk Register'!H:H,"Avoid")</f>
        <v>0</v>
      </c>
    </row>
    <row r="22" customFormat="false" ht="15" hidden="false" customHeight="false" outlineLevel="0" collapsed="false">
      <c r="A22" s="8" t="s">
        <v>80</v>
      </c>
    </row>
    <row r="23" customFormat="false" ht="15" hidden="false" customHeight="false" outlineLevel="0" collapsed="false">
      <c r="A23" s="9" t="s">
        <v>9</v>
      </c>
      <c r="B23" s="9" t="s">
        <v>69</v>
      </c>
    </row>
    <row r="24" customFormat="false" ht="15" hidden="false" customHeight="false" outlineLevel="0" collapsed="false">
      <c r="A24" s="0" t="s">
        <v>22</v>
      </c>
      <c r="B24" s="0" t="n">
        <f aca="false">COUNTIF('Risk Register'!J:J,"Not Started")</f>
        <v>4</v>
      </c>
    </row>
    <row r="25" customFormat="false" ht="15" hidden="false" customHeight="false" outlineLevel="0" collapsed="false">
      <c r="A25" s="0" t="s">
        <v>16</v>
      </c>
      <c r="B25" s="0" t="n">
        <f aca="false">COUNTIF('Risk Register'!J:J,"In Progress")</f>
        <v>4</v>
      </c>
    </row>
    <row r="26" customFormat="false" ht="15" hidden="false" customHeight="false" outlineLevel="0" collapsed="false">
      <c r="A26" s="0" t="s">
        <v>57</v>
      </c>
      <c r="B26" s="0" t="n">
        <f aca="false">COUNTIF('Risk Register'!J:J,"Planned")</f>
        <v>1</v>
      </c>
    </row>
    <row r="27" customFormat="false" ht="15" hidden="false" customHeight="false" outlineLevel="0" collapsed="false">
      <c r="A27" s="0" t="s">
        <v>38</v>
      </c>
      <c r="B27" s="0" t="n">
        <f aca="false">COUNTIF('Risk Register'!J:J,"Monitored")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2026-06-03T15:00:02Z</dcterms:created>
  <dc:creator>openpyxl</dc:creator>
  <dc:description/>
  <dc:language>en-US</dc:language>
  <cp:lastModifiedBy/>
  <dcterms:modified xsi:type="dcterms:W3CDTF">2026-06-03T15:00:02Z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